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<sst xmlns="http://schemas.openxmlformats.org/spreadsheetml/2006/main" count="591" uniqueCount="110">
  <si>
    <t xml:space="preserve"> </t>
  </si>
  <si>
    <t>MsGasStation</t>
  </si>
  <si>
    <t>MsSupplier</t>
  </si>
  <si>
    <t>MsFuel</t>
  </si>
  <si>
    <t>TrSupply</t>
  </si>
  <si>
    <t>TrSales</t>
  </si>
  <si>
    <t>GasStationID</t>
  </si>
  <si>
    <t>GasStationName</t>
  </si>
  <si>
    <t>Location</t>
  </si>
  <si>
    <t>SupplierID</t>
  </si>
  <si>
    <t>SupplierName</t>
  </si>
  <si>
    <t>Address</t>
  </si>
  <si>
    <t>Contact</t>
  </si>
  <si>
    <t>FuelID</t>
  </si>
  <si>
    <t>FuelName</t>
  </si>
  <si>
    <t>Octane</t>
  </si>
  <si>
    <t>Price</t>
  </si>
  <si>
    <t>SupplyID (PK)</t>
  </si>
  <si>
    <t>GasStationID (FK)</t>
  </si>
  <si>
    <t>SupplierID (FK)</t>
  </si>
  <si>
    <t>FuelID (FK)</t>
  </si>
  <si>
    <t>SupplyDate</t>
  </si>
  <si>
    <t>VolumeSupplied/gallon</t>
  </si>
  <si>
    <t>SalesID (PK)</t>
  </si>
  <si>
    <t>TransactionDate</t>
  </si>
  <si>
    <t>VolumeSold</t>
  </si>
  <si>
    <t>TotalIncome</t>
  </si>
  <si>
    <t>GS001</t>
  </si>
  <si>
    <t>Pertamina_Sunter</t>
  </si>
  <si>
    <t>Sunter</t>
  </si>
  <si>
    <t>SU001</t>
  </si>
  <si>
    <t>Persada Petroasiatama</t>
  </si>
  <si>
    <t>Jalan Merpati No. 15</t>
  </si>
  <si>
    <t>081234567890</t>
  </si>
  <si>
    <t>FL001</t>
  </si>
  <si>
    <t>Premium</t>
  </si>
  <si>
    <t>SP001</t>
  </si>
  <si>
    <t>GS003</t>
  </si>
  <si>
    <t>SU002</t>
  </si>
  <si>
    <t>FL004</t>
  </si>
  <si>
    <t>SA001</t>
  </si>
  <si>
    <t>FL002</t>
  </si>
  <si>
    <t>GS002</t>
  </si>
  <si>
    <t>Pertamina_Kebon_Jeruk</t>
  </si>
  <si>
    <t>Kebon Jeruk</t>
  </si>
  <si>
    <t>PT OPEC</t>
  </si>
  <si>
    <t>Jalan Anggrek No. 32A</t>
  </si>
  <si>
    <t>081234567891</t>
  </si>
  <si>
    <t>Pertalite</t>
  </si>
  <si>
    <t>SP002</t>
  </si>
  <si>
    <t>GS005</t>
  </si>
  <si>
    <t>SU004</t>
  </si>
  <si>
    <t>SA002</t>
  </si>
  <si>
    <t>Pertamina_Senayan</t>
  </si>
  <si>
    <t>Senayan</t>
  </si>
  <si>
    <t>SU003</t>
  </si>
  <si>
    <t>Bumi Jaya Abadi</t>
  </si>
  <si>
    <t>Jalan Flamboyan No. 30</t>
  </si>
  <si>
    <t>081234567892</t>
  </si>
  <si>
    <t>FL003</t>
  </si>
  <si>
    <t>Pertamax</t>
  </si>
  <si>
    <t>SP003</t>
  </si>
  <si>
    <t>SA003</t>
  </si>
  <si>
    <t>GS004</t>
  </si>
  <si>
    <t>Pertamina_Palmerah</t>
  </si>
  <si>
    <t>Palmerah</t>
  </si>
  <si>
    <t>Sinar Senter</t>
  </si>
  <si>
    <t>Jalan Mangga No. 7</t>
  </si>
  <si>
    <t>081234567893</t>
  </si>
  <si>
    <t>Pertamax Turbo</t>
  </si>
  <si>
    <t>SP004</t>
  </si>
  <si>
    <t>SA004</t>
  </si>
  <si>
    <t>Pertamina_Tanjung_Duren</t>
  </si>
  <si>
    <t>Tanjung Duren</t>
  </si>
  <si>
    <t>SU005</t>
  </si>
  <si>
    <t>Cahaya Bensin</t>
  </si>
  <si>
    <t>Jalan Jeruk No. 19</t>
  </si>
  <si>
    <t>081234567894</t>
  </si>
  <si>
    <t>FL005</t>
  </si>
  <si>
    <t>Pertamax Racing</t>
  </si>
  <si>
    <t>SP005</t>
  </si>
  <si>
    <t>SA005</t>
  </si>
  <si>
    <t>SP006</t>
  </si>
  <si>
    <t>SP007</t>
  </si>
  <si>
    <t>UNF</t>
  </si>
  <si>
    <t>VolumeSupplied</t>
  </si>
  <si>
    <t>SalesID</t>
  </si>
  <si>
    <t>081234567890,081246355610</t>
  </si>
  <si>
    <t>081234567893, 081246355613</t>
  </si>
  <si>
    <t>1NF</t>
  </si>
  <si>
    <t>MsContact</t>
  </si>
  <si>
    <t>SupplierID (PK)</t>
  </si>
  <si>
    <t>Contact (PK)</t>
  </si>
  <si>
    <t>081246355610</t>
  </si>
  <si>
    <t>081246355613</t>
  </si>
  <si>
    <t>FL006</t>
  </si>
  <si>
    <t>Pertamax Super</t>
  </si>
  <si>
    <t>2NF</t>
  </si>
  <si>
    <t>-Must satisfy 1NF</t>
  </si>
  <si>
    <t>-Here are the partial dependencies : MsGasStation, MsSupplier,MsFuel, TrSupply</t>
  </si>
  <si>
    <t>GasStationID (PK)</t>
  </si>
  <si>
    <t>SupplierID (PK) (FK)</t>
  </si>
  <si>
    <t>FuelID (PK)</t>
  </si>
  <si>
    <t>3NF</t>
  </si>
  <si>
    <t>-Must staisfy 2NF</t>
  </si>
  <si>
    <t>-Here are the transitive dependencies : MsOctane</t>
  </si>
  <si>
    <t>Mscontact</t>
  </si>
  <si>
    <t>MsOctane</t>
  </si>
  <si>
    <t>Octane (FK)</t>
  </si>
  <si>
    <t>Octane (PK)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</si>
</sst>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  <xf quotePrefix="1" borderId="1" fillId="2" fontId="3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21.75"/>
    <col customWidth="1" min="3" max="3" width="15.25"/>
    <col customWidth="1" min="5" max="5" width="18.38"/>
    <col customWidth="1" min="6" max="6" width="19.0"/>
    <col customWidth="1" min="7" max="7" width="24.13"/>
    <col customWidth="1" min="8" max="8" width="18.38"/>
    <col customWidth="1" min="9" max="9" width="19.0"/>
    <col customWidth="1" min="13" max="14" width="13.75"/>
    <col customWidth="1" min="16" max="16" width="14.63"/>
    <col customWidth="1" min="18" max="18" width="14.88"/>
    <col customWidth="1" min="20" max="20" width="18.0"/>
    <col customWidth="1" min="22" max="22" width="18.0"/>
    <col customWidth="1" min="24" max="24" width="18.0"/>
    <col customWidth="1" min="25" max="25" width="14.63"/>
    <col customWidth="1" min="27" max="28" width="14.63"/>
    <col customWidth="1" min="29" max="30" width="13.13"/>
  </cols>
  <sheetData>
    <row r="1">
      <c r="A1" s="1" t="s">
        <v>0</v>
      </c>
    </row>
    <row r="2">
      <c r="B2" s="2" t="s">
        <v>1</v>
      </c>
      <c r="G2" s="2" t="s">
        <v>2</v>
      </c>
      <c r="M2" s="2" t="s">
        <v>3</v>
      </c>
      <c r="S2" s="2" t="s">
        <v>4</v>
      </c>
      <c r="AA2" s="2" t="s">
        <v>5</v>
      </c>
    </row>
    <row r="3">
      <c r="B3" s="3" t="s">
        <v>6</v>
      </c>
      <c r="C3" s="3" t="s">
        <v>7</v>
      </c>
      <c r="D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AA3" s="3" t="s">
        <v>23</v>
      </c>
      <c r="AB3" s="3" t="s">
        <v>18</v>
      </c>
      <c r="AC3" s="3" t="s">
        <v>20</v>
      </c>
      <c r="AD3" s="3" t="s">
        <v>24</v>
      </c>
      <c r="AE3" s="3" t="s">
        <v>25</v>
      </c>
      <c r="AF3" s="3" t="s">
        <v>26</v>
      </c>
      <c r="AG3" s="1"/>
    </row>
    <row r="4">
      <c r="A4" s="1"/>
      <c r="B4" s="3" t="s">
        <v>27</v>
      </c>
      <c r="C4" s="3" t="s">
        <v>28</v>
      </c>
      <c r="D4" s="3" t="s">
        <v>29</v>
      </c>
      <c r="G4" s="3" t="s">
        <v>30</v>
      </c>
      <c r="H4" s="3" t="s">
        <v>31</v>
      </c>
      <c r="I4" s="3" t="s">
        <v>32</v>
      </c>
      <c r="J4" s="4" t="s">
        <v>33</v>
      </c>
      <c r="M4" s="3" t="s">
        <v>34</v>
      </c>
      <c r="N4" s="3" t="s">
        <v>35</v>
      </c>
      <c r="O4" s="3">
        <v>88.0</v>
      </c>
      <c r="P4" s="3">
        <v>10000.0</v>
      </c>
      <c r="S4" s="3" t="s">
        <v>36</v>
      </c>
      <c r="T4" s="3" t="s">
        <v>37</v>
      </c>
      <c r="U4" s="3" t="s">
        <v>38</v>
      </c>
      <c r="V4" s="3" t="s">
        <v>39</v>
      </c>
      <c r="W4" s="5">
        <v>45597.0</v>
      </c>
      <c r="X4" s="3">
        <v>11000.0</v>
      </c>
      <c r="AA4" s="3" t="s">
        <v>40</v>
      </c>
      <c r="AB4" s="3" t="s">
        <v>27</v>
      </c>
      <c r="AC4" s="3" t="s">
        <v>41</v>
      </c>
      <c r="AD4" s="5">
        <v>45607.0</v>
      </c>
      <c r="AE4" s="3">
        <v>13.5</v>
      </c>
      <c r="AF4" s="6">
        <f t="shared" ref="AF4:AF6" si="1">AE4*$P$5</f>
        <v>162000</v>
      </c>
    </row>
    <row r="5">
      <c r="B5" s="3" t="s">
        <v>42</v>
      </c>
      <c r="C5" s="3" t="s">
        <v>43</v>
      </c>
      <c r="D5" s="3" t="s">
        <v>44</v>
      </c>
      <c r="G5" s="3" t="s">
        <v>38</v>
      </c>
      <c r="H5" s="3" t="s">
        <v>45</v>
      </c>
      <c r="I5" s="3" t="s">
        <v>46</v>
      </c>
      <c r="J5" s="4" t="s">
        <v>47</v>
      </c>
      <c r="M5" s="3" t="s">
        <v>41</v>
      </c>
      <c r="N5" s="3" t="s">
        <v>48</v>
      </c>
      <c r="O5" s="3">
        <v>90.0</v>
      </c>
      <c r="P5" s="3">
        <v>12000.0</v>
      </c>
      <c r="S5" s="3" t="s">
        <v>49</v>
      </c>
      <c r="T5" s="3" t="s">
        <v>50</v>
      </c>
      <c r="U5" s="3" t="s">
        <v>51</v>
      </c>
      <c r="V5" s="3" t="s">
        <v>41</v>
      </c>
      <c r="W5" s="5">
        <v>45627.0</v>
      </c>
      <c r="X5" s="3">
        <v>11000.0</v>
      </c>
      <c r="AA5" s="3" t="s">
        <v>52</v>
      </c>
      <c r="AB5" s="3" t="s">
        <v>37</v>
      </c>
      <c r="AC5" s="3" t="s">
        <v>41</v>
      </c>
      <c r="AD5" s="5">
        <v>45637.0</v>
      </c>
      <c r="AE5" s="3">
        <v>5.0</v>
      </c>
      <c r="AF5" s="6">
        <f t="shared" si="1"/>
        <v>60000</v>
      </c>
    </row>
    <row r="6">
      <c r="B6" s="3" t="s">
        <v>37</v>
      </c>
      <c r="C6" s="3" t="s">
        <v>53</v>
      </c>
      <c r="D6" s="3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M6" s="3" t="s">
        <v>59</v>
      </c>
      <c r="N6" s="3" t="s">
        <v>60</v>
      </c>
      <c r="O6" s="3">
        <v>92.0</v>
      </c>
      <c r="P6" s="3">
        <v>13000.0</v>
      </c>
      <c r="S6" s="3" t="s">
        <v>61</v>
      </c>
      <c r="T6" s="3" t="s">
        <v>42</v>
      </c>
      <c r="U6" s="3" t="s">
        <v>55</v>
      </c>
      <c r="V6" s="3" t="s">
        <v>41</v>
      </c>
      <c r="W6" s="5">
        <v>45627.0</v>
      </c>
      <c r="X6" s="3">
        <v>11000.0</v>
      </c>
      <c r="AA6" s="3" t="s">
        <v>62</v>
      </c>
      <c r="AB6" s="3" t="s">
        <v>63</v>
      </c>
      <c r="AC6" s="3" t="s">
        <v>41</v>
      </c>
      <c r="AD6" s="5">
        <v>45637.0</v>
      </c>
      <c r="AE6" s="3">
        <v>3.0</v>
      </c>
      <c r="AF6" s="6">
        <f t="shared" si="1"/>
        <v>36000</v>
      </c>
    </row>
    <row r="7">
      <c r="B7" s="3" t="s">
        <v>63</v>
      </c>
      <c r="C7" s="3" t="s">
        <v>64</v>
      </c>
      <c r="D7" s="3" t="s">
        <v>65</v>
      </c>
      <c r="G7" s="3" t="s">
        <v>51</v>
      </c>
      <c r="H7" s="3" t="s">
        <v>66</v>
      </c>
      <c r="I7" s="3" t="s">
        <v>67</v>
      </c>
      <c r="J7" s="3" t="s">
        <v>68</v>
      </c>
      <c r="M7" s="3" t="s">
        <v>39</v>
      </c>
      <c r="N7" s="3" t="s">
        <v>69</v>
      </c>
      <c r="O7" s="3">
        <v>98.0</v>
      </c>
      <c r="P7" s="3">
        <v>15000.0</v>
      </c>
      <c r="S7" s="3" t="s">
        <v>70</v>
      </c>
      <c r="T7" s="3" t="s">
        <v>27</v>
      </c>
      <c r="U7" s="3" t="s">
        <v>30</v>
      </c>
      <c r="V7" s="3" t="s">
        <v>34</v>
      </c>
      <c r="W7" s="5">
        <v>45293.0</v>
      </c>
      <c r="X7" s="3">
        <v>11000.0</v>
      </c>
      <c r="AA7" s="3" t="s">
        <v>71</v>
      </c>
      <c r="AB7" s="3" t="s">
        <v>27</v>
      </c>
      <c r="AC7" s="3" t="s">
        <v>34</v>
      </c>
      <c r="AD7" s="5">
        <v>45303.0</v>
      </c>
      <c r="AE7" s="3">
        <v>3.0</v>
      </c>
      <c r="AF7" s="6">
        <f>AE7*P4</f>
        <v>30000</v>
      </c>
    </row>
    <row r="8">
      <c r="B8" s="3" t="s">
        <v>50</v>
      </c>
      <c r="C8" s="3" t="s">
        <v>72</v>
      </c>
      <c r="D8" s="3" t="s">
        <v>73</v>
      </c>
      <c r="G8" s="3" t="s">
        <v>74</v>
      </c>
      <c r="H8" s="3" t="s">
        <v>75</v>
      </c>
      <c r="I8" s="3" t="s">
        <v>76</v>
      </c>
      <c r="J8" s="3" t="s">
        <v>77</v>
      </c>
      <c r="M8" s="3" t="s">
        <v>78</v>
      </c>
      <c r="N8" s="3" t="s">
        <v>79</v>
      </c>
      <c r="O8" s="3">
        <v>100.0</v>
      </c>
      <c r="P8" s="3">
        <v>17000.0</v>
      </c>
      <c r="S8" s="3" t="s">
        <v>80</v>
      </c>
      <c r="T8" s="3" t="s">
        <v>42</v>
      </c>
      <c r="U8" s="3" t="s">
        <v>30</v>
      </c>
      <c r="V8" s="3" t="s">
        <v>78</v>
      </c>
      <c r="W8" s="5">
        <v>45324.0</v>
      </c>
      <c r="X8" s="3">
        <v>11000.0</v>
      </c>
      <c r="AA8" s="3" t="s">
        <v>81</v>
      </c>
      <c r="AB8" s="3" t="s">
        <v>42</v>
      </c>
      <c r="AC8" s="3" t="s">
        <v>59</v>
      </c>
      <c r="AD8" s="5">
        <v>45334.0</v>
      </c>
      <c r="AE8" s="3">
        <v>4.0</v>
      </c>
      <c r="AF8" s="6">
        <f>AE8*P6</f>
        <v>52000</v>
      </c>
    </row>
    <row r="9">
      <c r="S9" s="3" t="s">
        <v>82</v>
      </c>
      <c r="T9" s="3" t="s">
        <v>37</v>
      </c>
      <c r="U9" s="3" t="s">
        <v>30</v>
      </c>
      <c r="V9" s="3" t="s">
        <v>39</v>
      </c>
      <c r="W9" s="5">
        <v>45628.0</v>
      </c>
      <c r="X9" s="3">
        <v>11000.0</v>
      </c>
    </row>
    <row r="10">
      <c r="S10" s="3" t="s">
        <v>83</v>
      </c>
      <c r="T10" s="3" t="s">
        <v>50</v>
      </c>
      <c r="U10" s="3" t="s">
        <v>51</v>
      </c>
      <c r="V10" s="3" t="s">
        <v>34</v>
      </c>
      <c r="W10" s="5">
        <v>45629.0</v>
      </c>
      <c r="X10" s="3">
        <v>12000.0</v>
      </c>
    </row>
    <row r="18">
      <c r="A18" s="2" t="s">
        <v>84</v>
      </c>
    </row>
    <row r="19">
      <c r="A19" s="3" t="s">
        <v>6</v>
      </c>
      <c r="B19" s="3" t="s">
        <v>7</v>
      </c>
      <c r="C19" s="3" t="s">
        <v>8</v>
      </c>
      <c r="D19" s="3" t="s">
        <v>9</v>
      </c>
      <c r="E19" s="3" t="s">
        <v>10</v>
      </c>
      <c r="F19" s="3" t="s">
        <v>11</v>
      </c>
      <c r="G19" s="3" t="s">
        <v>12</v>
      </c>
      <c r="H19" s="3" t="s">
        <v>13</v>
      </c>
      <c r="I19" s="3" t="s">
        <v>14</v>
      </c>
      <c r="J19" s="3" t="s">
        <v>15</v>
      </c>
      <c r="K19" s="3" t="s">
        <v>16</v>
      </c>
      <c r="L19" s="3" t="s">
        <v>17</v>
      </c>
      <c r="M19" s="3" t="s">
        <v>21</v>
      </c>
      <c r="N19" s="3" t="s">
        <v>85</v>
      </c>
      <c r="O19" s="3" t="s">
        <v>86</v>
      </c>
      <c r="P19" s="3" t="s">
        <v>24</v>
      </c>
      <c r="Q19" s="3" t="s">
        <v>25</v>
      </c>
      <c r="R19" s="3" t="s">
        <v>26</v>
      </c>
    </row>
    <row r="20">
      <c r="A20" s="3" t="s">
        <v>27</v>
      </c>
      <c r="B20" s="3" t="s">
        <v>28</v>
      </c>
      <c r="C20" s="3" t="s">
        <v>29</v>
      </c>
      <c r="D20" s="3" t="s">
        <v>30</v>
      </c>
      <c r="E20" s="3" t="s">
        <v>31</v>
      </c>
      <c r="F20" s="3" t="s">
        <v>32</v>
      </c>
      <c r="G20" s="4" t="s">
        <v>87</v>
      </c>
      <c r="H20" s="3" t="s">
        <v>34</v>
      </c>
      <c r="I20" s="3" t="s">
        <v>35</v>
      </c>
      <c r="J20" s="3">
        <v>88.0</v>
      </c>
      <c r="K20" s="3">
        <v>10000.0</v>
      </c>
      <c r="L20" s="3" t="s">
        <v>36</v>
      </c>
      <c r="M20" s="5">
        <v>45597.0</v>
      </c>
      <c r="N20" s="3">
        <v>11000.0</v>
      </c>
      <c r="O20" s="3" t="s">
        <v>40</v>
      </c>
      <c r="P20" s="5">
        <v>45607.0</v>
      </c>
      <c r="Q20" s="3">
        <v>13.5</v>
      </c>
      <c r="R20" s="6">
        <f t="shared" ref="R20:R22" si="2">Q20*$P$5</f>
        <v>162000</v>
      </c>
    </row>
    <row r="21">
      <c r="A21" s="3" t="s">
        <v>42</v>
      </c>
      <c r="B21" s="3" t="s">
        <v>43</v>
      </c>
      <c r="C21" s="3" t="s">
        <v>44</v>
      </c>
      <c r="D21" s="3" t="s">
        <v>38</v>
      </c>
      <c r="E21" s="3" t="s">
        <v>45</v>
      </c>
      <c r="F21" s="3" t="s">
        <v>46</v>
      </c>
      <c r="G21" s="4" t="s">
        <v>47</v>
      </c>
      <c r="H21" s="3" t="s">
        <v>41</v>
      </c>
      <c r="I21" s="3" t="s">
        <v>48</v>
      </c>
      <c r="J21" s="3">
        <v>90.0</v>
      </c>
      <c r="K21" s="3">
        <v>12000.0</v>
      </c>
      <c r="L21" s="3" t="s">
        <v>49</v>
      </c>
      <c r="M21" s="5">
        <v>45627.0</v>
      </c>
      <c r="N21" s="3">
        <v>11000.0</v>
      </c>
      <c r="O21" s="3" t="s">
        <v>52</v>
      </c>
      <c r="P21" s="5">
        <v>45637.0</v>
      </c>
      <c r="Q21" s="3">
        <v>5.0</v>
      </c>
      <c r="R21" s="6">
        <f t="shared" si="2"/>
        <v>60000</v>
      </c>
    </row>
    <row r="22">
      <c r="A22" s="3" t="s">
        <v>37</v>
      </c>
      <c r="B22" s="3" t="s">
        <v>53</v>
      </c>
      <c r="C22" s="3" t="s">
        <v>54</v>
      </c>
      <c r="D22" s="3" t="s">
        <v>51</v>
      </c>
      <c r="E22" s="3" t="s">
        <v>66</v>
      </c>
      <c r="F22" s="3" t="s">
        <v>67</v>
      </c>
      <c r="G22" s="3" t="s">
        <v>88</v>
      </c>
      <c r="H22" s="3" t="s">
        <v>59</v>
      </c>
      <c r="I22" s="3" t="s">
        <v>60</v>
      </c>
      <c r="J22" s="3">
        <v>92.0</v>
      </c>
      <c r="K22" s="3">
        <v>13000.0</v>
      </c>
      <c r="L22" s="3" t="s">
        <v>61</v>
      </c>
      <c r="M22" s="5">
        <v>45627.0</v>
      </c>
      <c r="N22" s="3">
        <v>11000.0</v>
      </c>
      <c r="O22" s="3" t="s">
        <v>62</v>
      </c>
      <c r="P22" s="5">
        <v>45637.0</v>
      </c>
      <c r="Q22" s="3">
        <v>3.0</v>
      </c>
      <c r="R22" s="6">
        <f t="shared" si="2"/>
        <v>36000</v>
      </c>
    </row>
    <row r="23">
      <c r="A23" s="3" t="s">
        <v>63</v>
      </c>
      <c r="B23" s="3" t="s">
        <v>64</v>
      </c>
      <c r="C23" s="3" t="s">
        <v>65</v>
      </c>
      <c r="D23" s="3" t="s">
        <v>74</v>
      </c>
      <c r="E23" s="3" t="s">
        <v>75</v>
      </c>
      <c r="F23" s="3" t="s">
        <v>76</v>
      </c>
      <c r="G23" s="4" t="s">
        <v>77</v>
      </c>
      <c r="H23" s="3" t="s">
        <v>59</v>
      </c>
      <c r="I23" s="3" t="s">
        <v>60</v>
      </c>
      <c r="J23" s="3">
        <v>92.0</v>
      </c>
      <c r="K23" s="3">
        <v>13000.0</v>
      </c>
      <c r="L23" s="3" t="s">
        <v>70</v>
      </c>
      <c r="M23" s="5">
        <v>45293.0</v>
      </c>
      <c r="N23" s="3">
        <v>11000.0</v>
      </c>
      <c r="O23" s="3" t="s">
        <v>71</v>
      </c>
      <c r="P23" s="5">
        <v>45303.0</v>
      </c>
      <c r="Q23" s="3">
        <v>3.0</v>
      </c>
      <c r="R23" s="3">
        <v>30000.0</v>
      </c>
    </row>
    <row r="24">
      <c r="A24" s="3" t="s">
        <v>50</v>
      </c>
      <c r="B24" s="3" t="s">
        <v>72</v>
      </c>
      <c r="C24" s="3" t="s">
        <v>73</v>
      </c>
      <c r="D24" s="3" t="s">
        <v>55</v>
      </c>
      <c r="E24" s="3" t="s">
        <v>56</v>
      </c>
      <c r="F24" s="3" t="s">
        <v>57</v>
      </c>
      <c r="G24" s="4" t="s">
        <v>58</v>
      </c>
      <c r="H24" s="3" t="s">
        <v>39</v>
      </c>
      <c r="I24" s="3" t="s">
        <v>69</v>
      </c>
      <c r="J24" s="3">
        <v>98.0</v>
      </c>
      <c r="K24" s="3">
        <v>15000.0</v>
      </c>
      <c r="L24" s="3" t="s">
        <v>80</v>
      </c>
      <c r="M24" s="5">
        <v>45324.0</v>
      </c>
      <c r="N24" s="3">
        <v>11000.0</v>
      </c>
      <c r="O24" s="3" t="s">
        <v>81</v>
      </c>
      <c r="P24" s="5">
        <v>45334.0</v>
      </c>
      <c r="Q24" s="3">
        <v>4.0</v>
      </c>
      <c r="R24" s="3">
        <v>52000.0</v>
      </c>
    </row>
    <row r="25">
      <c r="A25" s="3" t="s">
        <v>27</v>
      </c>
      <c r="B25" s="3" t="s">
        <v>28</v>
      </c>
      <c r="C25" s="3" t="s">
        <v>29</v>
      </c>
      <c r="D25" s="3" t="s">
        <v>38</v>
      </c>
      <c r="E25" s="3" t="s">
        <v>45</v>
      </c>
      <c r="F25" s="3" t="s">
        <v>46</v>
      </c>
      <c r="G25" s="4" t="s">
        <v>47</v>
      </c>
      <c r="H25" s="3" t="s">
        <v>78</v>
      </c>
      <c r="I25" s="3" t="s">
        <v>79</v>
      </c>
      <c r="J25" s="3">
        <v>100.0</v>
      </c>
      <c r="K25" s="3">
        <v>17000.0</v>
      </c>
      <c r="L25" s="3" t="s">
        <v>82</v>
      </c>
      <c r="M25" s="5">
        <v>45628.0</v>
      </c>
      <c r="N25" s="3">
        <v>11000.0</v>
      </c>
      <c r="O25" s="3" t="s">
        <v>62</v>
      </c>
      <c r="P25" s="5">
        <v>45637.0</v>
      </c>
      <c r="Q25" s="3">
        <v>3.0</v>
      </c>
      <c r="R25" s="6">
        <f t="shared" ref="R25:R26" si="3">Q25*$P$5</f>
        <v>36000</v>
      </c>
    </row>
    <row r="26">
      <c r="A26" s="3" t="s">
        <v>42</v>
      </c>
      <c r="B26" s="3" t="s">
        <v>43</v>
      </c>
      <c r="C26" s="3" t="s">
        <v>44</v>
      </c>
      <c r="D26" s="3" t="s">
        <v>30</v>
      </c>
      <c r="E26" s="3" t="s">
        <v>31</v>
      </c>
      <c r="F26" s="3" t="s">
        <v>32</v>
      </c>
      <c r="G26" s="4" t="s">
        <v>87</v>
      </c>
      <c r="H26" s="3" t="s">
        <v>59</v>
      </c>
      <c r="I26" s="3" t="s">
        <v>60</v>
      </c>
      <c r="J26" s="3">
        <v>92.0</v>
      </c>
      <c r="K26" s="3">
        <v>13000.0</v>
      </c>
      <c r="L26" s="3" t="s">
        <v>83</v>
      </c>
      <c r="M26" s="5">
        <v>45629.0</v>
      </c>
      <c r="N26" s="3">
        <v>12000.0</v>
      </c>
      <c r="O26" s="3" t="s">
        <v>40</v>
      </c>
      <c r="P26" s="5">
        <v>45607.0</v>
      </c>
      <c r="Q26" s="3">
        <v>13.5</v>
      </c>
      <c r="R26" s="6">
        <f t="shared" si="3"/>
        <v>162000</v>
      </c>
    </row>
    <row r="29">
      <c r="A29" s="2" t="s">
        <v>89</v>
      </c>
    </row>
    <row r="30">
      <c r="A30" s="2" t="s">
        <v>1</v>
      </c>
      <c r="S30" s="2" t="s">
        <v>90</v>
      </c>
    </row>
    <row r="31">
      <c r="A31" s="3" t="s">
        <v>6</v>
      </c>
      <c r="B31" s="3" t="s">
        <v>7</v>
      </c>
      <c r="C31" s="3" t="s">
        <v>8</v>
      </c>
      <c r="D31" s="3" t="s">
        <v>19</v>
      </c>
      <c r="E31" s="3" t="s">
        <v>10</v>
      </c>
      <c r="F31" s="3" t="s">
        <v>11</v>
      </c>
      <c r="G31" s="3" t="s">
        <v>13</v>
      </c>
      <c r="H31" s="3" t="s">
        <v>14</v>
      </c>
      <c r="I31" s="3" t="s">
        <v>15</v>
      </c>
      <c r="J31" s="3" t="s">
        <v>16</v>
      </c>
      <c r="K31" s="3" t="s">
        <v>17</v>
      </c>
      <c r="L31" s="3" t="s">
        <v>21</v>
      </c>
      <c r="M31" s="3" t="s">
        <v>85</v>
      </c>
      <c r="N31" s="3" t="s">
        <v>86</v>
      </c>
      <c r="O31" s="3" t="s">
        <v>24</v>
      </c>
      <c r="P31" s="3" t="s">
        <v>25</v>
      </c>
      <c r="Q31" s="3" t="s">
        <v>26</v>
      </c>
      <c r="S31" s="3" t="s">
        <v>91</v>
      </c>
      <c r="T31" s="3" t="s">
        <v>92</v>
      </c>
    </row>
    <row r="32">
      <c r="A32" s="3" t="s">
        <v>27</v>
      </c>
      <c r="B32" s="3" t="s">
        <v>28</v>
      </c>
      <c r="C32" s="3" t="s">
        <v>29</v>
      </c>
      <c r="D32" s="3" t="s">
        <v>30</v>
      </c>
      <c r="E32" s="3" t="s">
        <v>31</v>
      </c>
      <c r="F32" s="3" t="s">
        <v>32</v>
      </c>
      <c r="G32" s="3" t="s">
        <v>34</v>
      </c>
      <c r="H32" s="3" t="s">
        <v>35</v>
      </c>
      <c r="I32" s="3">
        <v>88.0</v>
      </c>
      <c r="J32" s="3">
        <v>10000.0</v>
      </c>
      <c r="K32" s="3" t="s">
        <v>36</v>
      </c>
      <c r="L32" s="5">
        <v>45597.0</v>
      </c>
      <c r="M32" s="3">
        <v>11000.0</v>
      </c>
      <c r="N32" s="3" t="s">
        <v>40</v>
      </c>
      <c r="O32" s="5">
        <v>45607.0</v>
      </c>
      <c r="P32" s="3">
        <v>13.5</v>
      </c>
      <c r="Q32" s="6">
        <f t="shared" ref="Q32:Q34" si="4">P32*$P$5</f>
        <v>162000</v>
      </c>
      <c r="S32" s="3" t="s">
        <v>30</v>
      </c>
      <c r="T32" s="4" t="s">
        <v>33</v>
      </c>
    </row>
    <row r="33">
      <c r="A33" s="3" t="s">
        <v>42</v>
      </c>
      <c r="B33" s="3" t="s">
        <v>43</v>
      </c>
      <c r="C33" s="3" t="s">
        <v>44</v>
      </c>
      <c r="D33" s="3" t="s">
        <v>38</v>
      </c>
      <c r="E33" s="3" t="s">
        <v>45</v>
      </c>
      <c r="F33" s="3" t="s">
        <v>46</v>
      </c>
      <c r="G33" s="3" t="s">
        <v>41</v>
      </c>
      <c r="H33" s="3" t="s">
        <v>48</v>
      </c>
      <c r="I33" s="3">
        <v>90.0</v>
      </c>
      <c r="J33" s="3">
        <v>12000.0</v>
      </c>
      <c r="K33" s="3" t="s">
        <v>49</v>
      </c>
      <c r="L33" s="5">
        <v>45627.0</v>
      </c>
      <c r="M33" s="3">
        <v>11000.0</v>
      </c>
      <c r="N33" s="3" t="s">
        <v>52</v>
      </c>
      <c r="O33" s="5">
        <v>45637.0</v>
      </c>
      <c r="P33" s="3">
        <v>5.0</v>
      </c>
      <c r="Q33" s="6">
        <f t="shared" si="4"/>
        <v>60000</v>
      </c>
      <c r="S33" s="3" t="s">
        <v>30</v>
      </c>
      <c r="T33" s="4" t="s">
        <v>93</v>
      </c>
    </row>
    <row r="34">
      <c r="A34" s="3" t="s">
        <v>37</v>
      </c>
      <c r="B34" s="3" t="s">
        <v>53</v>
      </c>
      <c r="C34" s="3" t="s">
        <v>54</v>
      </c>
      <c r="D34" s="3" t="s">
        <v>51</v>
      </c>
      <c r="E34" s="3" t="s">
        <v>66</v>
      </c>
      <c r="F34" s="3" t="s">
        <v>67</v>
      </c>
      <c r="G34" s="3" t="s">
        <v>59</v>
      </c>
      <c r="H34" s="3" t="s">
        <v>60</v>
      </c>
      <c r="I34" s="3">
        <v>92.0</v>
      </c>
      <c r="J34" s="3">
        <v>13000.0</v>
      </c>
      <c r="K34" s="3" t="s">
        <v>61</v>
      </c>
      <c r="L34" s="5">
        <v>45627.0</v>
      </c>
      <c r="M34" s="3">
        <v>11000.0</v>
      </c>
      <c r="N34" s="3" t="s">
        <v>62</v>
      </c>
      <c r="O34" s="5">
        <v>45637.0</v>
      </c>
      <c r="P34" s="3">
        <v>3.0</v>
      </c>
      <c r="Q34" s="6">
        <f t="shared" si="4"/>
        <v>36000</v>
      </c>
      <c r="S34" s="3" t="s">
        <v>38</v>
      </c>
      <c r="T34" s="4" t="s">
        <v>47</v>
      </c>
    </row>
    <row r="35">
      <c r="A35" s="3" t="s">
        <v>63</v>
      </c>
      <c r="B35" s="3" t="s">
        <v>64</v>
      </c>
      <c r="C35" s="3" t="s">
        <v>65</v>
      </c>
      <c r="D35" s="3" t="s">
        <v>74</v>
      </c>
      <c r="E35" s="3" t="s">
        <v>75</v>
      </c>
      <c r="F35" s="3" t="s">
        <v>76</v>
      </c>
      <c r="G35" s="3" t="s">
        <v>59</v>
      </c>
      <c r="H35" s="3" t="s">
        <v>60</v>
      </c>
      <c r="I35" s="3">
        <v>92.0</v>
      </c>
      <c r="J35" s="3">
        <v>13000.0</v>
      </c>
      <c r="K35" s="3" t="s">
        <v>70</v>
      </c>
      <c r="L35" s="5">
        <v>45293.0</v>
      </c>
      <c r="M35" s="3">
        <v>11000.0</v>
      </c>
      <c r="N35" s="3" t="s">
        <v>71</v>
      </c>
      <c r="O35" s="5">
        <v>45303.0</v>
      </c>
      <c r="P35" s="3">
        <v>3.0</v>
      </c>
      <c r="Q35" s="3">
        <v>30000.0</v>
      </c>
      <c r="S35" s="3" t="s">
        <v>51</v>
      </c>
      <c r="T35" s="4" t="s">
        <v>68</v>
      </c>
    </row>
    <row r="36">
      <c r="A36" s="3" t="s">
        <v>50</v>
      </c>
      <c r="B36" s="3" t="s">
        <v>72</v>
      </c>
      <c r="C36" s="3" t="s">
        <v>73</v>
      </c>
      <c r="D36" s="3" t="s">
        <v>55</v>
      </c>
      <c r="E36" s="3" t="s">
        <v>56</v>
      </c>
      <c r="F36" s="3" t="s">
        <v>57</v>
      </c>
      <c r="G36" s="3" t="s">
        <v>39</v>
      </c>
      <c r="H36" s="3" t="s">
        <v>69</v>
      </c>
      <c r="I36" s="3">
        <v>98.0</v>
      </c>
      <c r="J36" s="3">
        <v>15000.0</v>
      </c>
      <c r="K36" s="3" t="s">
        <v>80</v>
      </c>
      <c r="L36" s="5">
        <v>45324.0</v>
      </c>
      <c r="M36" s="3">
        <v>11000.0</v>
      </c>
      <c r="N36" s="3" t="s">
        <v>81</v>
      </c>
      <c r="O36" s="5">
        <v>45334.0</v>
      </c>
      <c r="P36" s="3">
        <v>4.0</v>
      </c>
      <c r="Q36" s="3">
        <v>52000.0</v>
      </c>
      <c r="S36" s="3" t="s">
        <v>51</v>
      </c>
      <c r="T36" s="7" t="s">
        <v>94</v>
      </c>
    </row>
    <row r="37">
      <c r="A37" s="3" t="s">
        <v>27</v>
      </c>
      <c r="B37" s="3" t="s">
        <v>28</v>
      </c>
      <c r="C37" s="3" t="s">
        <v>29</v>
      </c>
      <c r="D37" s="3" t="s">
        <v>38</v>
      </c>
      <c r="E37" s="3" t="s">
        <v>45</v>
      </c>
      <c r="F37" s="3" t="s">
        <v>46</v>
      </c>
      <c r="G37" s="3" t="s">
        <v>78</v>
      </c>
      <c r="H37" s="3" t="s">
        <v>79</v>
      </c>
      <c r="I37" s="3">
        <v>100.0</v>
      </c>
      <c r="J37" s="3">
        <v>17000.0</v>
      </c>
      <c r="K37" s="3" t="s">
        <v>82</v>
      </c>
      <c r="L37" s="5">
        <v>45628.0</v>
      </c>
      <c r="M37" s="3">
        <v>11000.0</v>
      </c>
      <c r="N37" s="3" t="s">
        <v>62</v>
      </c>
      <c r="O37" s="5">
        <v>45637.0</v>
      </c>
      <c r="P37" s="3">
        <v>3.0</v>
      </c>
      <c r="Q37" s="6">
        <f t="shared" ref="Q37:Q38" si="5">P37*$P$5</f>
        <v>36000</v>
      </c>
      <c r="S37" s="3" t="s">
        <v>74</v>
      </c>
      <c r="T37" s="4" t="s">
        <v>77</v>
      </c>
    </row>
    <row r="38">
      <c r="A38" s="3" t="s">
        <v>42</v>
      </c>
      <c r="B38" s="3" t="s">
        <v>43</v>
      </c>
      <c r="C38" s="3" t="s">
        <v>44</v>
      </c>
      <c r="D38" s="3" t="s">
        <v>30</v>
      </c>
      <c r="E38" s="3" t="s">
        <v>31</v>
      </c>
      <c r="F38" s="3" t="s">
        <v>32</v>
      </c>
      <c r="G38" s="3" t="s">
        <v>95</v>
      </c>
      <c r="H38" s="3" t="s">
        <v>96</v>
      </c>
      <c r="I38" s="3">
        <v>92.0</v>
      </c>
      <c r="J38" s="3">
        <v>13000.0</v>
      </c>
      <c r="K38" s="3" t="s">
        <v>83</v>
      </c>
      <c r="L38" s="5">
        <v>45629.0</v>
      </c>
      <c r="M38" s="3">
        <v>12000.0</v>
      </c>
      <c r="N38" s="3" t="s">
        <v>40</v>
      </c>
      <c r="O38" s="5">
        <v>45607.0</v>
      </c>
      <c r="P38" s="3">
        <v>13.5</v>
      </c>
      <c r="Q38" s="6">
        <f t="shared" si="5"/>
        <v>162000</v>
      </c>
      <c r="S38" s="3" t="s">
        <v>55</v>
      </c>
      <c r="T38" s="4" t="s">
        <v>58</v>
      </c>
    </row>
    <row r="39">
      <c r="S39" s="3" t="s">
        <v>38</v>
      </c>
      <c r="T39" s="4" t="s">
        <v>47</v>
      </c>
    </row>
    <row r="40">
      <c r="S40" s="3" t="s">
        <v>30</v>
      </c>
      <c r="T40" s="4" t="s">
        <v>33</v>
      </c>
    </row>
    <row r="41">
      <c r="S41" s="3" t="s">
        <v>30</v>
      </c>
      <c r="T41" s="4" t="s">
        <v>93</v>
      </c>
    </row>
    <row r="43">
      <c r="A43" s="2" t="s">
        <v>97</v>
      </c>
      <c r="B43" s="1" t="s">
        <v>98</v>
      </c>
      <c r="C43" s="1" t="s">
        <v>99</v>
      </c>
    </row>
    <row r="44">
      <c r="A44" s="2" t="s">
        <v>1</v>
      </c>
      <c r="E44" s="2" t="s">
        <v>2</v>
      </c>
      <c r="I44" s="2" t="s">
        <v>90</v>
      </c>
      <c r="L44" s="2" t="s">
        <v>3</v>
      </c>
      <c r="Q44" s="2" t="s">
        <v>4</v>
      </c>
      <c r="X44" s="2" t="s">
        <v>5</v>
      </c>
    </row>
    <row r="45">
      <c r="A45" s="3" t="s">
        <v>100</v>
      </c>
      <c r="B45" s="3" t="s">
        <v>7</v>
      </c>
      <c r="C45" s="3" t="s">
        <v>8</v>
      </c>
      <c r="E45" s="3" t="s">
        <v>91</v>
      </c>
      <c r="F45" s="3" t="s">
        <v>10</v>
      </c>
      <c r="G45" s="3" t="s">
        <v>11</v>
      </c>
      <c r="I45" s="3" t="s">
        <v>101</v>
      </c>
      <c r="J45" s="3" t="s">
        <v>12</v>
      </c>
      <c r="L45" s="3" t="s">
        <v>102</v>
      </c>
      <c r="M45" s="3" t="s">
        <v>14</v>
      </c>
      <c r="N45" s="3" t="s">
        <v>15</v>
      </c>
      <c r="O45" s="3" t="s">
        <v>16</v>
      </c>
      <c r="Q45" s="3" t="s">
        <v>17</v>
      </c>
      <c r="R45" s="3" t="s">
        <v>18</v>
      </c>
      <c r="S45" s="3" t="s">
        <v>19</v>
      </c>
      <c r="T45" s="3" t="s">
        <v>20</v>
      </c>
      <c r="U45" s="3" t="s">
        <v>21</v>
      </c>
      <c r="V45" s="3" t="s">
        <v>22</v>
      </c>
      <c r="X45" s="3" t="s">
        <v>23</v>
      </c>
      <c r="Y45" s="3" t="s">
        <v>18</v>
      </c>
      <c r="Z45" s="3" t="s">
        <v>20</v>
      </c>
      <c r="AA45" s="3" t="s">
        <v>24</v>
      </c>
      <c r="AB45" s="3" t="s">
        <v>25</v>
      </c>
      <c r="AC45" s="3" t="s">
        <v>26</v>
      </c>
    </row>
    <row r="46">
      <c r="A46" s="3" t="s">
        <v>27</v>
      </c>
      <c r="B46" s="3" t="s">
        <v>28</v>
      </c>
      <c r="C46" s="3" t="s">
        <v>29</v>
      </c>
      <c r="E46" s="3" t="s">
        <v>30</v>
      </c>
      <c r="F46" s="3" t="s">
        <v>31</v>
      </c>
      <c r="G46" s="3" t="s">
        <v>32</v>
      </c>
      <c r="I46" s="3" t="s">
        <v>30</v>
      </c>
      <c r="J46" s="4" t="s">
        <v>33</v>
      </c>
      <c r="L46" s="3" t="s">
        <v>34</v>
      </c>
      <c r="M46" s="3" t="s">
        <v>35</v>
      </c>
      <c r="N46" s="3">
        <v>88.0</v>
      </c>
      <c r="O46" s="3">
        <v>10000.0</v>
      </c>
      <c r="Q46" s="3" t="s">
        <v>36</v>
      </c>
      <c r="R46" s="3" t="s">
        <v>37</v>
      </c>
      <c r="S46" s="3" t="s">
        <v>38</v>
      </c>
      <c r="T46" s="3" t="s">
        <v>39</v>
      </c>
      <c r="U46" s="5">
        <v>45597.0</v>
      </c>
      <c r="V46" s="3">
        <v>11000.0</v>
      </c>
      <c r="X46" s="3" t="s">
        <v>40</v>
      </c>
      <c r="Y46" s="3" t="s">
        <v>27</v>
      </c>
      <c r="Z46" s="3" t="s">
        <v>41</v>
      </c>
      <c r="AA46" s="5">
        <v>45607.0</v>
      </c>
      <c r="AB46" s="3">
        <v>13.5</v>
      </c>
      <c r="AC46" s="6">
        <f t="shared" ref="AC46:AC48" si="6">AB46*$P$5</f>
        <v>162000</v>
      </c>
    </row>
    <row r="47">
      <c r="A47" s="3" t="s">
        <v>42</v>
      </c>
      <c r="B47" s="3" t="s">
        <v>43</v>
      </c>
      <c r="C47" s="3" t="s">
        <v>44</v>
      </c>
      <c r="E47" s="3" t="s">
        <v>38</v>
      </c>
      <c r="F47" s="3" t="s">
        <v>45</v>
      </c>
      <c r="G47" s="3" t="s">
        <v>46</v>
      </c>
      <c r="I47" s="3" t="s">
        <v>30</v>
      </c>
      <c r="J47" s="4" t="s">
        <v>93</v>
      </c>
      <c r="L47" s="3" t="s">
        <v>41</v>
      </c>
      <c r="M47" s="3" t="s">
        <v>48</v>
      </c>
      <c r="N47" s="3">
        <v>90.0</v>
      </c>
      <c r="O47" s="3">
        <v>12000.0</v>
      </c>
      <c r="Q47" s="3" t="s">
        <v>49</v>
      </c>
      <c r="R47" s="3" t="s">
        <v>50</v>
      </c>
      <c r="S47" s="3" t="s">
        <v>51</v>
      </c>
      <c r="T47" s="3" t="s">
        <v>41</v>
      </c>
      <c r="U47" s="5">
        <v>45627.0</v>
      </c>
      <c r="V47" s="3">
        <v>11000.0</v>
      </c>
      <c r="X47" s="3" t="s">
        <v>52</v>
      </c>
      <c r="Y47" s="3" t="s">
        <v>37</v>
      </c>
      <c r="Z47" s="3" t="s">
        <v>41</v>
      </c>
      <c r="AA47" s="5">
        <v>45637.0</v>
      </c>
      <c r="AB47" s="3">
        <v>5.0</v>
      </c>
      <c r="AC47" s="6">
        <f t="shared" si="6"/>
        <v>60000</v>
      </c>
    </row>
    <row r="48">
      <c r="A48" s="3" t="s">
        <v>37</v>
      </c>
      <c r="B48" s="3" t="s">
        <v>53</v>
      </c>
      <c r="C48" s="3" t="s">
        <v>54</v>
      </c>
      <c r="E48" s="3" t="s">
        <v>55</v>
      </c>
      <c r="F48" s="3" t="s">
        <v>56</v>
      </c>
      <c r="G48" s="3" t="s">
        <v>57</v>
      </c>
      <c r="I48" s="3" t="s">
        <v>38</v>
      </c>
      <c r="J48" s="4" t="s">
        <v>47</v>
      </c>
      <c r="L48" s="3" t="s">
        <v>59</v>
      </c>
      <c r="M48" s="3" t="s">
        <v>60</v>
      </c>
      <c r="N48" s="3">
        <v>92.0</v>
      </c>
      <c r="O48" s="3">
        <v>13000.0</v>
      </c>
      <c r="Q48" s="3" t="s">
        <v>61</v>
      </c>
      <c r="R48" s="3" t="s">
        <v>42</v>
      </c>
      <c r="S48" s="3" t="s">
        <v>55</v>
      </c>
      <c r="T48" s="3" t="s">
        <v>41</v>
      </c>
      <c r="U48" s="5">
        <v>45627.0</v>
      </c>
      <c r="V48" s="3">
        <v>11000.0</v>
      </c>
      <c r="X48" s="3" t="s">
        <v>62</v>
      </c>
      <c r="Y48" s="3" t="s">
        <v>63</v>
      </c>
      <c r="Z48" s="3" t="s">
        <v>41</v>
      </c>
      <c r="AA48" s="5">
        <v>45637.0</v>
      </c>
      <c r="AB48" s="3">
        <v>3.0</v>
      </c>
      <c r="AC48" s="6">
        <f t="shared" si="6"/>
        <v>36000</v>
      </c>
    </row>
    <row r="49">
      <c r="A49" s="3" t="s">
        <v>63</v>
      </c>
      <c r="B49" s="3" t="s">
        <v>64</v>
      </c>
      <c r="C49" s="3" t="s">
        <v>65</v>
      </c>
      <c r="E49" s="3" t="s">
        <v>51</v>
      </c>
      <c r="F49" s="3" t="s">
        <v>66</v>
      </c>
      <c r="G49" s="3" t="s">
        <v>67</v>
      </c>
      <c r="I49" s="3" t="s">
        <v>55</v>
      </c>
      <c r="J49" s="4" t="s">
        <v>58</v>
      </c>
      <c r="L49" s="3" t="s">
        <v>39</v>
      </c>
      <c r="M49" s="3" t="s">
        <v>69</v>
      </c>
      <c r="N49" s="3">
        <v>98.0</v>
      </c>
      <c r="O49" s="3">
        <v>15000.0</v>
      </c>
      <c r="Q49" s="3" t="s">
        <v>70</v>
      </c>
      <c r="R49" s="3" t="s">
        <v>27</v>
      </c>
      <c r="S49" s="3" t="s">
        <v>30</v>
      </c>
      <c r="T49" s="3" t="s">
        <v>34</v>
      </c>
      <c r="U49" s="5">
        <v>45293.0</v>
      </c>
      <c r="V49" s="3">
        <v>11000.0</v>
      </c>
      <c r="X49" s="3" t="s">
        <v>71</v>
      </c>
      <c r="Y49" s="3" t="s">
        <v>27</v>
      </c>
      <c r="Z49" s="3" t="s">
        <v>34</v>
      </c>
      <c r="AA49" s="5">
        <v>45303.0</v>
      </c>
      <c r="AB49" s="3">
        <v>3.0</v>
      </c>
      <c r="AC49" s="6">
        <f>AB49*P4</f>
        <v>30000</v>
      </c>
    </row>
    <row r="50">
      <c r="A50" s="3" t="s">
        <v>50</v>
      </c>
      <c r="B50" s="3" t="s">
        <v>72</v>
      </c>
      <c r="C50" s="3" t="s">
        <v>73</v>
      </c>
      <c r="E50" s="3" t="s">
        <v>74</v>
      </c>
      <c r="F50" s="3" t="s">
        <v>75</v>
      </c>
      <c r="G50" s="3" t="s">
        <v>76</v>
      </c>
      <c r="I50" s="3" t="s">
        <v>51</v>
      </c>
      <c r="J50" s="4" t="s">
        <v>68</v>
      </c>
      <c r="L50" s="3" t="s">
        <v>78</v>
      </c>
      <c r="M50" s="3" t="s">
        <v>79</v>
      </c>
      <c r="N50" s="3">
        <v>100.0</v>
      </c>
      <c r="O50" s="3">
        <v>17000.0</v>
      </c>
      <c r="Q50" s="3" t="s">
        <v>80</v>
      </c>
      <c r="R50" s="3" t="s">
        <v>42</v>
      </c>
      <c r="S50" s="3" t="s">
        <v>30</v>
      </c>
      <c r="T50" s="3" t="s">
        <v>78</v>
      </c>
      <c r="U50" s="5">
        <v>45324.0</v>
      </c>
      <c r="V50" s="3">
        <v>11000.0</v>
      </c>
      <c r="X50" s="3" t="s">
        <v>81</v>
      </c>
      <c r="Y50" s="3" t="s">
        <v>42</v>
      </c>
      <c r="Z50" s="3" t="s">
        <v>59</v>
      </c>
      <c r="AA50" s="5">
        <v>45334.0</v>
      </c>
      <c r="AB50" s="3">
        <v>4.0</v>
      </c>
      <c r="AC50" s="6">
        <f>AB50*P6</f>
        <v>52000</v>
      </c>
    </row>
    <row r="51">
      <c r="I51" s="3" t="s">
        <v>51</v>
      </c>
      <c r="J51" s="7" t="s">
        <v>94</v>
      </c>
      <c r="L51" s="3" t="s">
        <v>95</v>
      </c>
      <c r="M51" s="3" t="s">
        <v>96</v>
      </c>
      <c r="N51" s="3">
        <v>92.0</v>
      </c>
      <c r="O51" s="3">
        <v>13000.0</v>
      </c>
      <c r="Q51" s="3" t="s">
        <v>82</v>
      </c>
      <c r="R51" s="3" t="s">
        <v>37</v>
      </c>
      <c r="S51" s="3" t="s">
        <v>30</v>
      </c>
      <c r="T51" s="3" t="s">
        <v>39</v>
      </c>
      <c r="U51" s="5">
        <v>45628.0</v>
      </c>
      <c r="V51" s="3">
        <v>11000.0</v>
      </c>
    </row>
    <row r="52">
      <c r="I52" s="3" t="s">
        <v>74</v>
      </c>
      <c r="J52" s="4" t="s">
        <v>77</v>
      </c>
      <c r="Q52" s="3" t="s">
        <v>83</v>
      </c>
      <c r="R52" s="3" t="s">
        <v>50</v>
      </c>
      <c r="S52" s="3" t="s">
        <v>51</v>
      </c>
      <c r="T52" s="3" t="s">
        <v>34</v>
      </c>
      <c r="U52" s="5">
        <v>45629.0</v>
      </c>
      <c r="V52" s="3">
        <v>12000.0</v>
      </c>
    </row>
    <row r="53">
      <c r="I53" s="1"/>
      <c r="J53" s="1"/>
    </row>
    <row r="54">
      <c r="I54" s="1"/>
      <c r="J54" s="1"/>
    </row>
    <row r="55">
      <c r="I55" s="1"/>
      <c r="J55" s="1"/>
    </row>
    <row r="57">
      <c r="A57" s="1" t="s">
        <v>103</v>
      </c>
      <c r="B57" s="1" t="s">
        <v>104</v>
      </c>
      <c r="C57" s="1" t="s">
        <v>105</v>
      </c>
    </row>
    <row r="58">
      <c r="A58" s="2" t="s">
        <v>1</v>
      </c>
      <c r="E58" s="2" t="s">
        <v>2</v>
      </c>
      <c r="I58" s="2" t="s">
        <v>106</v>
      </c>
      <c r="L58" s="2" t="s">
        <v>3</v>
      </c>
      <c r="P58" s="2" t="s">
        <v>107</v>
      </c>
      <c r="S58" s="2" t="s">
        <v>4</v>
      </c>
      <c r="Z58" s="2" t="s">
        <v>5</v>
      </c>
    </row>
    <row r="59">
      <c r="A59" s="3" t="s">
        <v>100</v>
      </c>
      <c r="B59" s="3" t="s">
        <v>7</v>
      </c>
      <c r="C59" s="3" t="s">
        <v>8</v>
      </c>
      <c r="E59" s="3" t="s">
        <v>91</v>
      </c>
      <c r="F59" s="3" t="s">
        <v>10</v>
      </c>
      <c r="G59" s="3" t="s">
        <v>11</v>
      </c>
      <c r="I59" s="3" t="s">
        <v>101</v>
      </c>
      <c r="J59" s="3" t="s">
        <v>92</v>
      </c>
      <c r="L59" s="3" t="s">
        <v>102</v>
      </c>
      <c r="M59" s="3" t="s">
        <v>14</v>
      </c>
      <c r="N59" s="3" t="s">
        <v>108</v>
      </c>
      <c r="P59" s="3" t="s">
        <v>109</v>
      </c>
      <c r="Q59" s="3" t="s">
        <v>16</v>
      </c>
      <c r="S59" s="3" t="s">
        <v>17</v>
      </c>
      <c r="T59" s="3" t="s">
        <v>18</v>
      </c>
      <c r="U59" s="3" t="s">
        <v>19</v>
      </c>
      <c r="V59" s="3" t="s">
        <v>20</v>
      </c>
      <c r="W59" s="3" t="s">
        <v>21</v>
      </c>
      <c r="X59" s="3" t="s">
        <v>22</v>
      </c>
      <c r="Z59" s="3" t="s">
        <v>23</v>
      </c>
      <c r="AA59" s="3" t="s">
        <v>18</v>
      </c>
      <c r="AB59" s="3" t="s">
        <v>20</v>
      </c>
      <c r="AC59" s="3" t="s">
        <v>24</v>
      </c>
      <c r="AD59" s="3" t="s">
        <v>25</v>
      </c>
      <c r="AE59" s="3" t="s">
        <v>26</v>
      </c>
    </row>
    <row r="60">
      <c r="A60" s="3" t="s">
        <v>27</v>
      </c>
      <c r="B60" s="3" t="s">
        <v>28</v>
      </c>
      <c r="C60" s="3" t="s">
        <v>29</v>
      </c>
      <c r="E60" s="3" t="s">
        <v>30</v>
      </c>
      <c r="F60" s="3" t="s">
        <v>31</v>
      </c>
      <c r="G60" s="3" t="s">
        <v>32</v>
      </c>
      <c r="I60" s="3" t="s">
        <v>30</v>
      </c>
      <c r="J60" s="4" t="s">
        <v>33</v>
      </c>
      <c r="L60" s="3" t="s">
        <v>34</v>
      </c>
      <c r="M60" s="3" t="s">
        <v>35</v>
      </c>
      <c r="N60" s="3">
        <v>88.0</v>
      </c>
      <c r="P60" s="3">
        <v>88.0</v>
      </c>
      <c r="Q60" s="3">
        <v>10000.0</v>
      </c>
      <c r="S60" s="3" t="s">
        <v>36</v>
      </c>
      <c r="T60" s="3" t="s">
        <v>37</v>
      </c>
      <c r="U60" s="3" t="s">
        <v>38</v>
      </c>
      <c r="V60" s="3" t="s">
        <v>39</v>
      </c>
      <c r="W60" s="5">
        <v>45597.0</v>
      </c>
      <c r="X60" s="3">
        <v>11000.0</v>
      </c>
      <c r="Z60" s="3" t="s">
        <v>40</v>
      </c>
      <c r="AA60" s="3" t="s">
        <v>27</v>
      </c>
      <c r="AB60" s="3" t="s">
        <v>41</v>
      </c>
      <c r="AC60" s="5">
        <v>45607.0</v>
      </c>
      <c r="AD60" s="3">
        <v>13.5</v>
      </c>
      <c r="AE60" s="6">
        <f t="shared" ref="AE60:AE62" si="7">AD60*$P$5</f>
        <v>162000</v>
      </c>
    </row>
    <row r="61">
      <c r="A61" s="3" t="s">
        <v>42</v>
      </c>
      <c r="B61" s="3" t="s">
        <v>43</v>
      </c>
      <c r="C61" s="3" t="s">
        <v>44</v>
      </c>
      <c r="E61" s="3" t="s">
        <v>38</v>
      </c>
      <c r="F61" s="3" t="s">
        <v>45</v>
      </c>
      <c r="G61" s="3" t="s">
        <v>46</v>
      </c>
      <c r="I61" s="3" t="s">
        <v>30</v>
      </c>
      <c r="J61" s="4" t="s">
        <v>93</v>
      </c>
      <c r="L61" s="3" t="s">
        <v>41</v>
      </c>
      <c r="M61" s="3" t="s">
        <v>48</v>
      </c>
      <c r="N61" s="3">
        <v>90.0</v>
      </c>
      <c r="P61" s="3">
        <v>90.0</v>
      </c>
      <c r="Q61" s="3">
        <v>12000.0</v>
      </c>
      <c r="S61" s="3" t="s">
        <v>49</v>
      </c>
      <c r="T61" s="3" t="s">
        <v>50</v>
      </c>
      <c r="U61" s="3" t="s">
        <v>51</v>
      </c>
      <c r="V61" s="3" t="s">
        <v>41</v>
      </c>
      <c r="W61" s="5">
        <v>45627.0</v>
      </c>
      <c r="X61" s="3">
        <v>11000.0</v>
      </c>
      <c r="Z61" s="3" t="s">
        <v>52</v>
      </c>
      <c r="AA61" s="3" t="s">
        <v>37</v>
      </c>
      <c r="AB61" s="3" t="s">
        <v>41</v>
      </c>
      <c r="AC61" s="5">
        <v>45637.0</v>
      </c>
      <c r="AD61" s="3">
        <v>5.0</v>
      </c>
      <c r="AE61" s="6">
        <f t="shared" si="7"/>
        <v>60000</v>
      </c>
    </row>
    <row r="62">
      <c r="A62" s="3" t="s">
        <v>37</v>
      </c>
      <c r="B62" s="3" t="s">
        <v>53</v>
      </c>
      <c r="C62" s="3" t="s">
        <v>54</v>
      </c>
      <c r="E62" s="3" t="s">
        <v>55</v>
      </c>
      <c r="F62" s="3" t="s">
        <v>56</v>
      </c>
      <c r="G62" s="3" t="s">
        <v>57</v>
      </c>
      <c r="I62" s="3" t="s">
        <v>38</v>
      </c>
      <c r="J62" s="4" t="s">
        <v>47</v>
      </c>
      <c r="L62" s="3" t="s">
        <v>59</v>
      </c>
      <c r="M62" s="3" t="s">
        <v>60</v>
      </c>
      <c r="N62" s="3">
        <v>92.0</v>
      </c>
      <c r="P62" s="3">
        <v>92.0</v>
      </c>
      <c r="Q62" s="3">
        <v>13000.0</v>
      </c>
      <c r="S62" s="3" t="s">
        <v>61</v>
      </c>
      <c r="T62" s="3" t="s">
        <v>42</v>
      </c>
      <c r="U62" s="3" t="s">
        <v>55</v>
      </c>
      <c r="V62" s="3" t="s">
        <v>41</v>
      </c>
      <c r="W62" s="5">
        <v>45627.0</v>
      </c>
      <c r="X62" s="3">
        <v>11000.0</v>
      </c>
      <c r="Z62" s="3" t="s">
        <v>62</v>
      </c>
      <c r="AA62" s="3" t="s">
        <v>63</v>
      </c>
      <c r="AB62" s="3" t="s">
        <v>41</v>
      </c>
      <c r="AC62" s="5">
        <v>45637.0</v>
      </c>
      <c r="AD62" s="3">
        <v>3.0</v>
      </c>
      <c r="AE62" s="6">
        <f t="shared" si="7"/>
        <v>36000</v>
      </c>
    </row>
    <row r="63">
      <c r="A63" s="3" t="s">
        <v>63</v>
      </c>
      <c r="B63" s="3" t="s">
        <v>64</v>
      </c>
      <c r="C63" s="3" t="s">
        <v>65</v>
      </c>
      <c r="E63" s="3" t="s">
        <v>51</v>
      </c>
      <c r="F63" s="3" t="s">
        <v>66</v>
      </c>
      <c r="G63" s="3" t="s">
        <v>67</v>
      </c>
      <c r="I63" s="3" t="s">
        <v>55</v>
      </c>
      <c r="J63" s="4" t="s">
        <v>58</v>
      </c>
      <c r="L63" s="3" t="s">
        <v>39</v>
      </c>
      <c r="M63" s="3" t="s">
        <v>69</v>
      </c>
      <c r="N63" s="3">
        <v>98.0</v>
      </c>
      <c r="P63" s="3">
        <v>98.0</v>
      </c>
      <c r="Q63" s="3">
        <v>15000.0</v>
      </c>
      <c r="S63" s="3" t="s">
        <v>70</v>
      </c>
      <c r="T63" s="3" t="s">
        <v>27</v>
      </c>
      <c r="U63" s="3" t="s">
        <v>30</v>
      </c>
      <c r="V63" s="3" t="s">
        <v>34</v>
      </c>
      <c r="W63" s="5">
        <v>45293.0</v>
      </c>
      <c r="X63" s="3">
        <v>11000.0</v>
      </c>
      <c r="Z63" s="3" t="s">
        <v>71</v>
      </c>
      <c r="AA63" s="3" t="s">
        <v>27</v>
      </c>
      <c r="AB63" s="3" t="s">
        <v>34</v>
      </c>
      <c r="AC63" s="5">
        <v>45303.0</v>
      </c>
      <c r="AD63" s="3">
        <v>3.0</v>
      </c>
      <c r="AE63" s="6">
        <f t="shared" ref="AE63:AE64" si="8">AC49</f>
        <v>30000</v>
      </c>
    </row>
    <row r="64">
      <c r="A64" s="3" t="s">
        <v>50</v>
      </c>
      <c r="B64" s="3" t="s">
        <v>72</v>
      </c>
      <c r="C64" s="3" t="s">
        <v>73</v>
      </c>
      <c r="E64" s="3" t="s">
        <v>74</v>
      </c>
      <c r="F64" s="3" t="s">
        <v>75</v>
      </c>
      <c r="G64" s="3" t="s">
        <v>76</v>
      </c>
      <c r="I64" s="3" t="s">
        <v>51</v>
      </c>
      <c r="J64" s="4" t="s">
        <v>68</v>
      </c>
      <c r="L64" s="3" t="s">
        <v>78</v>
      </c>
      <c r="M64" s="3" t="s">
        <v>79</v>
      </c>
      <c r="N64" s="3">
        <v>100.0</v>
      </c>
      <c r="P64" s="3">
        <v>100.0</v>
      </c>
      <c r="Q64" s="3">
        <v>17000.0</v>
      </c>
      <c r="S64" s="3" t="s">
        <v>80</v>
      </c>
      <c r="T64" s="3" t="s">
        <v>42</v>
      </c>
      <c r="U64" s="3" t="s">
        <v>30</v>
      </c>
      <c r="V64" s="3" t="s">
        <v>78</v>
      </c>
      <c r="W64" s="5">
        <v>45324.0</v>
      </c>
      <c r="X64" s="3">
        <v>11000.0</v>
      </c>
      <c r="Z64" s="3" t="s">
        <v>81</v>
      </c>
      <c r="AA64" s="3" t="s">
        <v>42</v>
      </c>
      <c r="AB64" s="3" t="s">
        <v>59</v>
      </c>
      <c r="AC64" s="5">
        <v>45334.0</v>
      </c>
      <c r="AD64" s="3">
        <v>4.0</v>
      </c>
      <c r="AE64" s="6">
        <f t="shared" si="8"/>
        <v>52000</v>
      </c>
    </row>
    <row r="65">
      <c r="I65" s="3" t="s">
        <v>51</v>
      </c>
      <c r="J65" s="7" t="s">
        <v>94</v>
      </c>
      <c r="L65" s="3" t="s">
        <v>95</v>
      </c>
      <c r="M65" s="3" t="s">
        <v>96</v>
      </c>
      <c r="N65" s="3">
        <v>92.0</v>
      </c>
      <c r="S65" s="3" t="s">
        <v>82</v>
      </c>
      <c r="T65" s="3" t="s">
        <v>37</v>
      </c>
      <c r="U65" s="3" t="s">
        <v>30</v>
      </c>
      <c r="V65" s="3" t="s">
        <v>39</v>
      </c>
      <c r="W65" s="5">
        <v>45628.0</v>
      </c>
      <c r="X65" s="3">
        <v>11000.0</v>
      </c>
    </row>
    <row r="66">
      <c r="I66" s="3" t="s">
        <v>74</v>
      </c>
      <c r="J66" s="4" t="s">
        <v>77</v>
      </c>
      <c r="S66" s="3" t="s">
        <v>83</v>
      </c>
      <c r="T66" s="3" t="s">
        <v>50</v>
      </c>
      <c r="U66" s="3" t="s">
        <v>51</v>
      </c>
      <c r="V66" s="3" t="s">
        <v>34</v>
      </c>
      <c r="W66" s="5">
        <v>45629.0</v>
      </c>
      <c r="X66" s="3">
        <v>12000.0</v>
      </c>
    </row>
  </sheetData>
  <drawing r:id="rId1"/>
</worksheet>
</file>